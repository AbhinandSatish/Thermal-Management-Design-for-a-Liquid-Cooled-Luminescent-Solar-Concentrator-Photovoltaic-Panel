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api.box.com/wopi/files/2193174098111/WOPIServiceId_TP_BOX_2/WOPIUserId_-/"/>
    </mc:Choice>
  </mc:AlternateContent>
  <xr:revisionPtr revIDLastSave="0" documentId="13_ncr:1_{0D7D399A-5A7C-8242-8F44-A0226C5DB5CE}" xr6:coauthVersionLast="47" xr6:coauthVersionMax="47" xr10:uidLastSave="{00000000-0000-0000-0000-000000000000}"/>
  <bookViews>
    <workbookView xWindow="-120" yWindow="-120" windowWidth="29040" windowHeight="15720" activeTab="1" xr2:uid="{00000000-000D-0000-FFFF-FFFF00000000}"/>
  </bookViews>
  <sheets>
    <sheet name="ReadMe" sheetId="1" r:id="rId1"/>
    <sheet name="Calculation Sheet" sheetId="2" r:id="rId2"/>
  </sheets>
  <definedNames>
    <definedName name="_xlnm.Print_Area" localSheetId="1">'Calculation Sheet'!$A$1:$N$35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8" i="2" l="1"/>
  <c r="N27" i="2"/>
  <c r="N26" i="2"/>
  <c r="N25" i="2"/>
  <c r="N24" i="2"/>
  <c r="N22" i="2"/>
  <c r="N21" i="2"/>
  <c r="N19" i="2"/>
  <c r="N18" i="2"/>
  <c r="N17" i="2"/>
  <c r="N16" i="2"/>
  <c r="N15" i="2"/>
  <c r="N14" i="2"/>
  <c r="N13" i="2"/>
  <c r="N11" i="2"/>
  <c r="N10" i="2"/>
  <c r="N9" i="2"/>
  <c r="N8" i="2"/>
  <c r="N7" i="2"/>
  <c r="N6" i="2"/>
  <c r="N5" i="2"/>
  <c r="N4" i="2"/>
</calcChain>
</file>

<file path=xl/sharedStrings.xml><?xml version="1.0" encoding="utf-8"?>
<sst xmlns="http://schemas.openxmlformats.org/spreadsheetml/2006/main" count="163" uniqueCount="129">
  <si>
    <t xml:space="preserve">Heat Transfer Class Project Template
Goal: Design a rectangular-duct liquid cooling system that keeps PV/duct module temperature ≤ 35 °C while meeting velocity and pump-power limits. This template is intentionally formula‑free so you input each equation.
How to use this file:
1) Fill green cells on the Inputs sheet with given data and your chosen design values.
2) Work through the Steps sheet in order. For each step, write your equation and show your work in the ‘Your work / notes’ column, then enter the numeric result in the yellow Result cell.
3) Use the PG Freeze Chart sheet to select a propylene glycol (PPG) percentage that protects against −10 °C; cite your source.
4) Complete the Checklist sheet before submitting.
</t>
  </si>
  <si>
    <t>Input Data (Edit green cells only)</t>
  </si>
  <si>
    <t>Calculation Template (write equations in the notes column; DO NOT add cell formulas)</t>
  </si>
  <si>
    <t>STUDENT INPUT</t>
  </si>
  <si>
    <t>#</t>
  </si>
  <si>
    <t>What to compute</t>
  </si>
  <si>
    <t>Units</t>
  </si>
  <si>
    <t>Comments/Notes</t>
  </si>
  <si>
    <t>Result</t>
  </si>
  <si>
    <t>Parameter</t>
  </si>
  <si>
    <t>Value</t>
  </si>
  <si>
    <t>Notes</t>
  </si>
  <si>
    <t>A. Heat Load (per duct module)</t>
  </si>
  <si>
    <t>Channel height (H)</t>
  </si>
  <si>
    <t>m</t>
  </si>
  <si>
    <t>Width of one duct module</t>
  </si>
  <si>
    <t>PV area</t>
  </si>
  <si>
    <t>m²</t>
  </si>
  <si>
    <t>A_PV = W_PV * L_PV</t>
  </si>
  <si>
    <t>PV thickness (tpv)</t>
  </si>
  <si>
    <t>Thickness of PV panel</t>
  </si>
  <si>
    <t>Absorbed power at PV</t>
  </si>
  <si>
    <t>W</t>
  </si>
  <si>
    <t>P_abs = G * C_f * A_PV * alpha</t>
  </si>
  <si>
    <t>Mass flow rate (ṁ) per channel</t>
  </si>
  <si>
    <t>kg/s</t>
  </si>
  <si>
    <t>Mass flow rate of the coolant into the channel</t>
  </si>
  <si>
    <t>Electrical power from PV</t>
  </si>
  <si>
    <t>P_elec = eta_PV * P_abs</t>
  </si>
  <si>
    <t>Pump efficiency, h</t>
  </si>
  <si>
    <t>-</t>
  </si>
  <si>
    <t>Provide justification or datasheet for this value</t>
  </si>
  <si>
    <t>Heat rejected to coolant (per duct)</t>
  </si>
  <si>
    <t>q_to_coolant = P_abs - P_elec</t>
  </si>
  <si>
    <t>Coolant type</t>
  </si>
  <si>
    <t>30 vol% DOWFROST / water</t>
  </si>
  <si>
    <t>Number of duct modules per 1 m panel</t>
  </si>
  <si>
    <t>N = FLOOR[1 / (H_LSC + H + t_pv)] for the template first pass</t>
  </si>
  <si>
    <t>PG mass fraction</t>
  </si>
  <si>
    <t>Choose based on freeze protection from chart</t>
  </si>
  <si>
    <t>Panel total heat to remove</t>
  </si>
  <si>
    <t>q_panel = N * q_to_coolant</t>
  </si>
  <si>
    <t>Coolant density,  ρ</t>
  </si>
  <si>
    <t>kg/m³</t>
  </si>
  <si>
    <t>At bulk mean temp (vendor data)</t>
  </si>
  <si>
    <t>Panel total electric power</t>
  </si>
  <si>
    <t>P_elec,panel = N * P_elec</t>
  </si>
  <si>
    <t>Coolant viscosity, μ</t>
  </si>
  <si>
    <t>Pa·s</t>
  </si>
  <si>
    <t>Pump power limit (≤ 5% of electric power)</t>
  </si>
  <si>
    <t>P_pump,limit = 0.05 * P_elec,panel</t>
  </si>
  <si>
    <t>Coolant specific heat, cp</t>
  </si>
  <si>
    <t>J/(kg·K)</t>
  </si>
  <si>
    <t>B. Flow &amp; Thermal Sizing</t>
  </si>
  <si>
    <t>Coolant thermal conductivity,  κ</t>
  </si>
  <si>
    <t>W/(m·K)</t>
  </si>
  <si>
    <t>Channel cross-section area (W × H)</t>
  </si>
  <si>
    <t>A_cs = W_channel * H</t>
  </si>
  <si>
    <t>GIVEN VALUES</t>
  </si>
  <si>
    <t>Hydraulic diameter (rectangular duct)</t>
  </si>
  <si>
    <t>D_h = 4*A_cs/P = 2WH/(W+H)</t>
  </si>
  <si>
    <t>LSC length</t>
  </si>
  <si>
    <t>Wedge concentrator length</t>
  </si>
  <si>
    <t>Heat flux at PV (per duct)</t>
  </si>
  <si>
    <t>W/m²</t>
  </si>
  <si>
    <t>q'' = q_to_coolant / A_PV</t>
  </si>
  <si>
    <t>LSC height</t>
  </si>
  <si>
    <t>Wedge concentrator height</t>
  </si>
  <si>
    <t>Outlet temperature (To)</t>
  </si>
  <si>
    <t>K</t>
  </si>
  <si>
    <t>T_o = T_i + q_to_coolant/(m_dot*c_p); enter in K</t>
  </si>
  <si>
    <t>Channel width</t>
  </si>
  <si>
    <t>Width of channel</t>
  </si>
  <si>
    <t>Volume flow rate (V̇)</t>
  </si>
  <si>
    <t>m3/s</t>
  </si>
  <si>
    <t>V_dot = m_dot / rho</t>
  </si>
  <si>
    <t>PV width</t>
  </si>
  <si>
    <t>Width of PV panel</t>
  </si>
  <si>
    <t>Mean velocity in duct (u)</t>
  </si>
  <si>
    <t>m/s</t>
  </si>
  <si>
    <t>u = V_dot / A_cs</t>
  </si>
  <si>
    <t>PV length/Channel length</t>
  </si>
  <si>
    <t>Length of PV panel</t>
  </si>
  <si>
    <t>Reynolds number (ReDh)</t>
  </si>
  <si>
    <t>Re_Dh = rho*u*D_h / mu</t>
  </si>
  <si>
    <t>Incident irradiance, G</t>
  </si>
  <si>
    <t>Peak design irradiance</t>
  </si>
  <si>
    <t>Nusselt number (assumption &amp; source)</t>
  </si>
  <si>
    <t>Nu = 4.36, fully developed laminar / uniform q'' first-pass using hydraulic diameter</t>
  </si>
  <si>
    <t>Concentration factor on PV</t>
  </si>
  <si>
    <t>Heat transfer coefficient, h</t>
  </si>
  <si>
    <t>W/(m²·K)</t>
  </si>
  <si>
    <t>h = Nu*k / D_h</t>
  </si>
  <si>
    <t>PV absorptance</t>
  </si>
  <si>
    <t>Fraction of light absorbed</t>
  </si>
  <si>
    <t>Max PV wall temperature (Tso)</t>
  </si>
  <si>
    <t>°C</t>
  </si>
  <si>
    <t>T_so,max = T_o(C) + q''/h</t>
  </si>
  <si>
    <t>PV electrical efficiency (of absorbed)</t>
  </si>
  <si>
    <t>Electric conversion fraction of absorbed</t>
  </si>
  <si>
    <t>C. Pressure Drop &amp; Pumping</t>
  </si>
  <si>
    <t>Coolant inlet temperature</t>
  </si>
  <si>
    <t>Design inlet temperature</t>
  </si>
  <si>
    <t>Friction factor (correlation used)</t>
  </si>
  <si>
    <t>f = 64/Re_Dh, laminar Darcy first-pass</t>
  </si>
  <si>
    <t>Maximum PV/duct wall temperature (limit)</t>
  </si>
  <si>
    <t>Design criterion – do not exceed</t>
  </si>
  <si>
    <t>Pressure drop per duct</t>
  </si>
  <si>
    <t>Pa</t>
  </si>
  <si>
    <t>Delta p = f*(L/D_h)*(rho*u^2/2), with L = 1 m</t>
  </si>
  <si>
    <t>Velocity limit</t>
  </si>
  <si>
    <t>Erosion minimization</t>
  </si>
  <si>
    <t>Pump power per duct</t>
  </si>
  <si>
    <t>P_pump,duct = Delta p * V_dot / eta_pump</t>
  </si>
  <si>
    <t>Pump power fraction limit</t>
  </si>
  <si>
    <t>≤ 5% of panel electric power</t>
  </si>
  <si>
    <t>Total pump power per panel</t>
  </si>
  <si>
    <t>P_pump,panel = N * P_pump,duct</t>
  </si>
  <si>
    <t>Total pump power/Total panel electric power</t>
  </si>
  <si>
    <t>Pump fraction = P_pump,panel / P_elec,panel</t>
  </si>
  <si>
    <t>Extra assumptions / sources</t>
  </si>
  <si>
    <t>Assumed channel wall thickness, t_ch</t>
  </si>
  <si>
    <t>Use in report/CAD; not included in template N calculation unless you add a row.</t>
  </si>
  <si>
    <t>Coolant property source</t>
  </si>
  <si>
    <t>DOWFROST 30 vol% table, interpolated to about 30 C</t>
  </si>
  <si>
    <t>Freeze point for 30 vol% is -12.7 C.</t>
  </si>
  <si>
    <t>PV thickness source</t>
  </si>
  <si>
    <t>200 um silicon cell datasheet</t>
  </si>
  <si>
    <t>Use as first-pass vendor-backed PV thickness.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</si>
</sst>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theme="1"/>
      <name val="Times New Roman"/>
      <family val="1"/>
    </font>
  </fonts>
  <fills count="7">
    <fill>
      <patternFill patternType="none"/>
    </fill>
    <fill>
      <patternFill patternType="gray125"/>
    </fill>
    <fill>
      <patternFill patternType="solid">
        <fgColor rgb="FFD9E1F2"/>
        <bgColor indexed="64"/>
      </patternFill>
    </fill>
    <fill>
      <patternFill patternType="solid">
        <fgColor rgb="FFE2F0D9"/>
        <bgColor indexed="64"/>
      </patternFill>
    </fill>
    <fill>
      <patternFill patternType="solid">
        <fgColor rgb="FFF2F2F2"/>
        <bgColor indexed="64"/>
      </patternFill>
    </fill>
    <fill>
      <patternFill patternType="solid">
        <fgColor theme="0" tint="-0.249977111117893"/>
        <bgColor indexed="64"/>
      </patternFill>
    </fill>
    <fill>
      <patternFill patternType="solid">
        <fgColor rgb="FF00B05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0" fillId="3" borderId="1" xfId="0"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left" vertical="center"/>
    </xf>
    <xf numFmtId="0" fontId="1" fillId="3" borderId="1"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wrapText="1"/>
    </xf>
    <xf numFmtId="0" fontId="0" fillId="3" borderId="2" xfId="0" applyFill="1" applyBorder="1" applyAlignment="1">
      <alignment horizontal="center" vertical="center"/>
    </xf>
    <xf numFmtId="0" fontId="0" fillId="3" borderId="4" xfId="0" applyFill="1" applyBorder="1" applyAlignment="1">
      <alignment horizontal="left" vertical="center"/>
    </xf>
    <xf numFmtId="0" fontId="2" fillId="0" borderId="0" xfId="0" applyFont="1"/>
    <xf numFmtId="0" fontId="0" fillId="5" borderId="1" xfId="0" applyFill="1" applyBorder="1" applyAlignment="1">
      <alignment horizontal="left"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1" fillId="4" borderId="1" xfId="0" applyFont="1" applyFill="1" applyBorder="1" applyAlignment="1">
      <alignment horizontal="center" vertical="center"/>
    </xf>
    <xf numFmtId="0" fontId="0" fillId="0" borderId="3" xfId="0" applyBorder="1"/>
    <xf numFmtId="0" fontId="0" fillId="0" borderId="4" xfId="0" applyBorder="1"/>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140" zoomScaleNormal="140" workbookViewId="0">
      <selection activeCell="A2" sqref="A2"/>
    </sheetView>
  </sheetViews>
  <sheetFormatPr defaultColWidth="8.85546875" defaultRowHeight="15" x14ac:dyDescent="0.25"/>
  <cols>
    <col min="1" max="1" width="100.7109375" customWidth="1"/>
  </cols>
  <sheetData>
    <row r="1" spans="1:1" ht="208.5" customHeight="1" x14ac:dyDescent="0.25">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N34"/>
  <sheetViews>
    <sheetView showGridLines="0" tabSelected="1" zoomScale="88" zoomScaleNormal="85" workbookViewId="0">
      <selection activeCell="G8" sqref="G8"/>
    </sheetView>
  </sheetViews>
  <sheetFormatPr defaultColWidth="8.85546875" defaultRowHeight="22.5" customHeight="1" x14ac:dyDescent="0.25"/>
  <cols>
    <col min="1" max="1" width="40.28515625" bestFit="1" customWidth="1"/>
    <col min="2" max="2" width="8.42578125" bestFit="1" customWidth="1"/>
    <col min="3" max="3" width="22.7109375" bestFit="1" customWidth="1"/>
    <col min="4" max="4" width="45.28515625" bestFit="1" customWidth="1"/>
    <col min="7" max="9" width="6.7109375" customWidth="1"/>
    <col min="10" max="10" width="3.85546875" style="7" bestFit="1" customWidth="1"/>
    <col min="11" max="11" width="39.140625" bestFit="1" customWidth="1"/>
    <col min="12" max="12" width="10" bestFit="1" customWidth="1"/>
    <col min="13" max="13" width="48.28515625" bestFit="1" customWidth="1"/>
    <col min="14" max="14" width="14.28515625" bestFit="1" customWidth="1"/>
  </cols>
  <sheetData>
    <row r="1" spans="1:14" ht="22.5" customHeight="1" x14ac:dyDescent="0.25">
      <c r="A1" s="19" t="s">
        <v>1</v>
      </c>
      <c r="B1" s="16"/>
      <c r="C1" s="16"/>
      <c r="D1" s="17"/>
      <c r="J1" s="19" t="s">
        <v>2</v>
      </c>
      <c r="K1" s="16"/>
      <c r="L1" s="16"/>
      <c r="M1" s="16"/>
      <c r="N1" s="17"/>
    </row>
    <row r="2" spans="1:14" ht="22.5" customHeight="1" x14ac:dyDescent="0.25">
      <c r="A2" s="20" t="s">
        <v>3</v>
      </c>
      <c r="B2" s="16"/>
      <c r="C2" s="16"/>
      <c r="D2" s="17"/>
      <c r="J2" s="3" t="s">
        <v>4</v>
      </c>
      <c r="K2" s="3" t="s">
        <v>5</v>
      </c>
      <c r="L2" s="3" t="s">
        <v>6</v>
      </c>
      <c r="M2" s="3" t="s">
        <v>7</v>
      </c>
      <c r="N2" s="3" t="s">
        <v>8</v>
      </c>
    </row>
    <row r="3" spans="1:14" ht="22.5" customHeight="1" x14ac:dyDescent="0.25">
      <c r="A3" s="6" t="s">
        <v>9</v>
      </c>
      <c r="B3" s="6" t="s">
        <v>6</v>
      </c>
      <c r="C3" s="6" t="s">
        <v>10</v>
      </c>
      <c r="D3" s="6" t="s">
        <v>11</v>
      </c>
      <c r="J3" s="15" t="s">
        <v>12</v>
      </c>
      <c r="K3" s="16"/>
      <c r="L3" s="16"/>
      <c r="M3" s="16"/>
      <c r="N3" s="17"/>
    </row>
    <row r="4" spans="1:14" ht="22.5" customHeight="1" x14ac:dyDescent="0.25">
      <c r="A4" s="5" t="s">
        <v>13</v>
      </c>
      <c r="B4" s="2" t="s">
        <v>14</v>
      </c>
      <c r="C4" s="14">
        <v>1E-3</v>
      </c>
      <c r="D4" s="5" t="s">
        <v>15</v>
      </c>
      <c r="J4" s="4">
        <v>1</v>
      </c>
      <c r="K4" s="8" t="s">
        <v>16</v>
      </c>
      <c r="L4" s="4" t="s">
        <v>17</v>
      </c>
      <c r="M4" s="4" t="s">
        <v>18</v>
      </c>
      <c r="N4" s="4">
        <f>C18*C19</f>
        <v>0.01</v>
      </c>
    </row>
    <row r="5" spans="1:14" ht="22.5" customHeight="1" x14ac:dyDescent="0.25">
      <c r="A5" s="5" t="s">
        <v>19</v>
      </c>
      <c r="B5" s="2" t="s">
        <v>14</v>
      </c>
      <c r="C5" s="14">
        <v>2.0000000000000001E-4</v>
      </c>
      <c r="D5" s="5" t="s">
        <v>20</v>
      </c>
      <c r="J5" s="4">
        <v>2</v>
      </c>
      <c r="K5" s="8" t="s">
        <v>21</v>
      </c>
      <c r="L5" s="4" t="s">
        <v>22</v>
      </c>
      <c r="M5" s="4" t="s">
        <v>23</v>
      </c>
      <c r="N5" s="4">
        <f>C20*C21*N4*C22</f>
        <v>10.8</v>
      </c>
    </row>
    <row r="6" spans="1:14" ht="22.5" customHeight="1" x14ac:dyDescent="0.25">
      <c r="A6" s="5" t="s">
        <v>24</v>
      </c>
      <c r="B6" s="2" t="s">
        <v>25</v>
      </c>
      <c r="C6" s="14">
        <v>4.0000000000000002E-4</v>
      </c>
      <c r="D6" s="5" t="s">
        <v>26</v>
      </c>
      <c r="J6" s="4">
        <v>3</v>
      </c>
      <c r="K6" s="8" t="s">
        <v>27</v>
      </c>
      <c r="L6" s="4" t="s">
        <v>22</v>
      </c>
      <c r="M6" s="4" t="s">
        <v>28</v>
      </c>
      <c r="N6" s="4">
        <f>C23*N5</f>
        <v>2.7</v>
      </c>
    </row>
    <row r="7" spans="1:14" ht="22.5" customHeight="1" x14ac:dyDescent="0.25">
      <c r="A7" s="5" t="s">
        <v>29</v>
      </c>
      <c r="B7" s="9" t="s">
        <v>30</v>
      </c>
      <c r="C7" s="14">
        <v>0.7</v>
      </c>
      <c r="D7" s="10" t="s">
        <v>31</v>
      </c>
      <c r="J7" s="4">
        <v>4</v>
      </c>
      <c r="K7" s="8" t="s">
        <v>32</v>
      </c>
      <c r="L7" s="4" t="s">
        <v>22</v>
      </c>
      <c r="M7" s="4" t="s">
        <v>33</v>
      </c>
      <c r="N7" s="4">
        <f>N5-N6</f>
        <v>8.1000000000000014</v>
      </c>
    </row>
    <row r="8" spans="1:14" ht="22.5" customHeight="1" x14ac:dyDescent="0.25">
      <c r="A8" s="5" t="s">
        <v>34</v>
      </c>
      <c r="B8" s="20" t="s">
        <v>35</v>
      </c>
      <c r="C8" s="16"/>
      <c r="D8" s="17"/>
      <c r="J8" s="4">
        <v>5</v>
      </c>
      <c r="K8" s="8" t="s">
        <v>36</v>
      </c>
      <c r="L8" s="4" t="s">
        <v>30</v>
      </c>
      <c r="M8" s="4" t="s">
        <v>37</v>
      </c>
      <c r="N8" s="4">
        <f>FLOOR(1/(C16+C4+C5),1)</f>
        <v>19</v>
      </c>
    </row>
    <row r="9" spans="1:14" ht="22.5" customHeight="1" x14ac:dyDescent="0.25">
      <c r="A9" s="5" t="s">
        <v>38</v>
      </c>
      <c r="B9" s="2" t="s">
        <v>30</v>
      </c>
      <c r="C9" s="14">
        <v>0.29399999999999998</v>
      </c>
      <c r="D9" s="5" t="s">
        <v>39</v>
      </c>
      <c r="J9" s="4">
        <v>6</v>
      </c>
      <c r="K9" s="8" t="s">
        <v>40</v>
      </c>
      <c r="L9" s="4" t="s">
        <v>22</v>
      </c>
      <c r="M9" s="4" t="s">
        <v>41</v>
      </c>
      <c r="N9" s="4">
        <f>N8*N7</f>
        <v>153.90000000000003</v>
      </c>
    </row>
    <row r="10" spans="1:14" ht="22.5" customHeight="1" x14ac:dyDescent="0.25">
      <c r="A10" s="5" t="s">
        <v>42</v>
      </c>
      <c r="B10" s="2" t="s">
        <v>43</v>
      </c>
      <c r="C10" s="14">
        <v>1022.39</v>
      </c>
      <c r="D10" s="5" t="s">
        <v>44</v>
      </c>
      <c r="J10" s="4">
        <v>7</v>
      </c>
      <c r="K10" s="8" t="s">
        <v>45</v>
      </c>
      <c r="L10" s="4" t="s">
        <v>22</v>
      </c>
      <c r="M10" s="4" t="s">
        <v>46</v>
      </c>
      <c r="N10" s="4">
        <f>N8*N6</f>
        <v>51.300000000000004</v>
      </c>
    </row>
    <row r="11" spans="1:14" ht="22.5" customHeight="1" x14ac:dyDescent="0.25">
      <c r="A11" s="5" t="s">
        <v>47</v>
      </c>
      <c r="B11" s="2" t="s">
        <v>48</v>
      </c>
      <c r="C11" s="14">
        <v>2.2049999999999999E-3</v>
      </c>
      <c r="D11" s="5" t="s">
        <v>44</v>
      </c>
      <c r="J11" s="4">
        <v>8</v>
      </c>
      <c r="K11" s="8" t="s">
        <v>49</v>
      </c>
      <c r="L11" s="4" t="s">
        <v>22</v>
      </c>
      <c r="M11" s="4" t="s">
        <v>50</v>
      </c>
      <c r="N11" s="4">
        <f>C27*N10</f>
        <v>2.5650000000000004</v>
      </c>
    </row>
    <row r="12" spans="1:14" ht="22.5" customHeight="1" x14ac:dyDescent="0.25">
      <c r="A12" s="5" t="s">
        <v>51</v>
      </c>
      <c r="B12" s="2" t="s">
        <v>52</v>
      </c>
      <c r="C12" s="14">
        <v>3886.6</v>
      </c>
      <c r="D12" s="5" t="s">
        <v>44</v>
      </c>
      <c r="J12" s="15" t="s">
        <v>53</v>
      </c>
      <c r="K12" s="16"/>
      <c r="L12" s="16"/>
      <c r="M12" s="16"/>
      <c r="N12" s="17"/>
    </row>
    <row r="13" spans="1:14" ht="22.5" customHeight="1" x14ac:dyDescent="0.25">
      <c r="A13" s="5" t="s">
        <v>54</v>
      </c>
      <c r="B13" s="2" t="s">
        <v>55</v>
      </c>
      <c r="C13" s="14">
        <v>0.45663999999999999</v>
      </c>
      <c r="D13" s="5" t="s">
        <v>44</v>
      </c>
      <c r="J13" s="4">
        <v>9</v>
      </c>
      <c r="K13" s="8" t="s">
        <v>56</v>
      </c>
      <c r="L13" s="4" t="s">
        <v>17</v>
      </c>
      <c r="M13" s="4" t="s">
        <v>57</v>
      </c>
      <c r="N13" s="4">
        <f>C17*C4</f>
        <v>1.0000000000000001E-5</v>
      </c>
    </row>
    <row r="14" spans="1:14" ht="22.5" customHeight="1" x14ac:dyDescent="0.25">
      <c r="A14" s="18" t="s">
        <v>58</v>
      </c>
      <c r="B14" s="16"/>
      <c r="C14" s="16"/>
      <c r="D14" s="17"/>
      <c r="J14" s="4">
        <v>10</v>
      </c>
      <c r="K14" s="8" t="s">
        <v>59</v>
      </c>
      <c r="L14" s="4" t="s">
        <v>14</v>
      </c>
      <c r="M14" s="4" t="s">
        <v>60</v>
      </c>
      <c r="N14" s="4">
        <f>2*C17*C4/(C17+C4)</f>
        <v>1.8181818181818184E-3</v>
      </c>
    </row>
    <row r="15" spans="1:14" ht="22.5" customHeight="1" x14ac:dyDescent="0.25">
      <c r="A15" s="12" t="s">
        <v>61</v>
      </c>
      <c r="B15" s="13" t="s">
        <v>14</v>
      </c>
      <c r="C15" s="13">
        <v>1</v>
      </c>
      <c r="D15" s="12" t="s">
        <v>62</v>
      </c>
      <c r="J15" s="4">
        <v>11</v>
      </c>
      <c r="K15" s="8" t="s">
        <v>63</v>
      </c>
      <c r="L15" s="4" t="s">
        <v>64</v>
      </c>
      <c r="M15" s="4" t="s">
        <v>65</v>
      </c>
      <c r="N15" s="4">
        <f>N7/N4</f>
        <v>810.00000000000011</v>
      </c>
    </row>
    <row r="16" spans="1:14" ht="22.5" customHeight="1" x14ac:dyDescent="0.25">
      <c r="A16" s="12" t="s">
        <v>66</v>
      </c>
      <c r="B16" s="13" t="s">
        <v>14</v>
      </c>
      <c r="C16" s="13">
        <v>0.05</v>
      </c>
      <c r="D16" s="12" t="s">
        <v>67</v>
      </c>
      <c r="J16" s="4">
        <v>12</v>
      </c>
      <c r="K16" s="8" t="s">
        <v>68</v>
      </c>
      <c r="L16" s="4" t="s">
        <v>69</v>
      </c>
      <c r="M16" s="4" t="s">
        <v>70</v>
      </c>
      <c r="N16" s="4">
        <f>(C24+273.15)+N7/(C6*C12)</f>
        <v>305.36020943755466</v>
      </c>
    </row>
    <row r="17" spans="1:14" ht="22.5" customHeight="1" x14ac:dyDescent="0.25">
      <c r="A17" s="12" t="s">
        <v>71</v>
      </c>
      <c r="B17" s="13" t="s">
        <v>14</v>
      </c>
      <c r="C17" s="13">
        <v>0.01</v>
      </c>
      <c r="D17" s="12" t="s">
        <v>72</v>
      </c>
      <c r="F17" s="11"/>
      <c r="J17" s="4">
        <v>13</v>
      </c>
      <c r="K17" s="8" t="s">
        <v>73</v>
      </c>
      <c r="L17" s="4" t="s">
        <v>74</v>
      </c>
      <c r="M17" s="4" t="s">
        <v>75</v>
      </c>
      <c r="N17" s="4">
        <f>C6/C10</f>
        <v>3.9124013341288553E-7</v>
      </c>
    </row>
    <row r="18" spans="1:14" ht="22.5" customHeight="1" x14ac:dyDescent="0.25">
      <c r="A18" s="12" t="s">
        <v>76</v>
      </c>
      <c r="B18" s="13" t="s">
        <v>14</v>
      </c>
      <c r="C18" s="13">
        <v>0.01</v>
      </c>
      <c r="D18" s="12" t="s">
        <v>77</v>
      </c>
      <c r="J18" s="4">
        <v>14</v>
      </c>
      <c r="K18" s="8" t="s">
        <v>78</v>
      </c>
      <c r="L18" s="4" t="s">
        <v>79</v>
      </c>
      <c r="M18" s="4" t="s">
        <v>80</v>
      </c>
      <c r="N18" s="4">
        <f>N17/N13</f>
        <v>3.9124013341288552E-2</v>
      </c>
    </row>
    <row r="19" spans="1:14" ht="22.5" customHeight="1" x14ac:dyDescent="0.25">
      <c r="A19" s="12" t="s">
        <v>81</v>
      </c>
      <c r="B19" s="13" t="s">
        <v>14</v>
      </c>
      <c r="C19" s="13">
        <v>1</v>
      </c>
      <c r="D19" s="12" t="s">
        <v>82</v>
      </c>
      <c r="J19" s="4">
        <v>15</v>
      </c>
      <c r="K19" s="8" t="s">
        <v>83</v>
      </c>
      <c r="L19" s="4" t="s">
        <v>30</v>
      </c>
      <c r="M19" s="4" t="s">
        <v>84</v>
      </c>
      <c r="N19" s="4">
        <f>C10*N18*N14/C11</f>
        <v>32.982890125747275</v>
      </c>
    </row>
    <row r="20" spans="1:14" ht="22.5" customHeight="1" x14ac:dyDescent="0.25">
      <c r="A20" s="12" t="s">
        <v>85</v>
      </c>
      <c r="B20" s="13" t="s">
        <v>64</v>
      </c>
      <c r="C20" s="13">
        <v>1000</v>
      </c>
      <c r="D20" s="12" t="s">
        <v>86</v>
      </c>
      <c r="J20" s="4">
        <v>16</v>
      </c>
      <c r="K20" s="8" t="s">
        <v>87</v>
      </c>
      <c r="L20" s="4" t="s">
        <v>30</v>
      </c>
      <c r="M20" s="4" t="s">
        <v>88</v>
      </c>
      <c r="N20" s="4">
        <v>4.3600000000000003</v>
      </c>
    </row>
    <row r="21" spans="1:14" ht="22.5" customHeight="1" x14ac:dyDescent="0.25">
      <c r="A21" s="12" t="s">
        <v>89</v>
      </c>
      <c r="B21" s="13" t="s">
        <v>30</v>
      </c>
      <c r="C21" s="13">
        <v>1.2</v>
      </c>
      <c r="D21" s="12"/>
      <c r="J21" s="4">
        <v>17</v>
      </c>
      <c r="K21" s="8" t="s">
        <v>90</v>
      </c>
      <c r="L21" s="4" t="s">
        <v>91</v>
      </c>
      <c r="M21" s="4" t="s">
        <v>92</v>
      </c>
      <c r="N21" s="4">
        <f>N20*C13/N14</f>
        <v>1095.0227199999999</v>
      </c>
    </row>
    <row r="22" spans="1:14" ht="22.5" customHeight="1" x14ac:dyDescent="0.25">
      <c r="A22" s="12" t="s">
        <v>93</v>
      </c>
      <c r="B22" s="13" t="s">
        <v>30</v>
      </c>
      <c r="C22" s="13">
        <v>0.9</v>
      </c>
      <c r="D22" s="12" t="s">
        <v>94</v>
      </c>
      <c r="J22" s="4">
        <v>18</v>
      </c>
      <c r="K22" s="8" t="s">
        <v>95</v>
      </c>
      <c r="L22" s="4" t="s">
        <v>96</v>
      </c>
      <c r="M22" s="4" t="s">
        <v>97</v>
      </c>
      <c r="N22" s="4">
        <f>(N16-273.15)+N15/N21</f>
        <v>32.949920116799767</v>
      </c>
    </row>
    <row r="23" spans="1:14" ht="22.5" customHeight="1" x14ac:dyDescent="0.25">
      <c r="A23" s="12" t="s">
        <v>98</v>
      </c>
      <c r="B23" s="13" t="s">
        <v>30</v>
      </c>
      <c r="C23" s="13">
        <v>0.25</v>
      </c>
      <c r="D23" s="12" t="s">
        <v>99</v>
      </c>
      <c r="J23" s="15" t="s">
        <v>100</v>
      </c>
      <c r="K23" s="16"/>
      <c r="L23" s="16"/>
      <c r="M23" s="16"/>
      <c r="N23" s="17"/>
    </row>
    <row r="24" spans="1:14" ht="22.5" customHeight="1" x14ac:dyDescent="0.25">
      <c r="A24" s="12" t="s">
        <v>101</v>
      </c>
      <c r="B24" s="13" t="s">
        <v>96</v>
      </c>
      <c r="C24" s="13">
        <v>27</v>
      </c>
      <c r="D24" s="12" t="s">
        <v>102</v>
      </c>
      <c r="J24" s="4">
        <v>19</v>
      </c>
      <c r="K24" s="8" t="s">
        <v>103</v>
      </c>
      <c r="L24" s="4" t="s">
        <v>30</v>
      </c>
      <c r="M24" s="4" t="s">
        <v>104</v>
      </c>
      <c r="N24" s="4">
        <f>64/N19</f>
        <v>1.9403999999999997</v>
      </c>
    </row>
    <row r="25" spans="1:14" ht="22.5" customHeight="1" x14ac:dyDescent="0.25">
      <c r="A25" s="12" t="s">
        <v>105</v>
      </c>
      <c r="B25" s="13" t="s">
        <v>96</v>
      </c>
      <c r="C25" s="13">
        <v>35</v>
      </c>
      <c r="D25" s="12" t="s">
        <v>106</v>
      </c>
      <c r="J25" s="4">
        <v>20</v>
      </c>
      <c r="K25" s="8" t="s">
        <v>107</v>
      </c>
      <c r="L25" s="4" t="s">
        <v>108</v>
      </c>
      <c r="M25" s="4" t="s">
        <v>109</v>
      </c>
      <c r="N25" s="4">
        <f>N24*(C19/N14)*(C10*N18^2/2)</f>
        <v>835.07859036179912</v>
      </c>
    </row>
    <row r="26" spans="1:14" ht="22.5" customHeight="1" x14ac:dyDescent="0.25">
      <c r="A26" s="12" t="s">
        <v>110</v>
      </c>
      <c r="B26" s="13" t="s">
        <v>79</v>
      </c>
      <c r="C26" s="13">
        <v>5</v>
      </c>
      <c r="D26" s="12" t="s">
        <v>111</v>
      </c>
      <c r="J26" s="4">
        <v>21</v>
      </c>
      <c r="K26" s="8" t="s">
        <v>112</v>
      </c>
      <c r="L26" s="4" t="s">
        <v>22</v>
      </c>
      <c r="M26" s="4" t="s">
        <v>113</v>
      </c>
      <c r="N26" s="4">
        <f>N25*N17/C7</f>
        <v>4.6673751300484954E-4</v>
      </c>
    </row>
    <row r="27" spans="1:14" ht="22.5" customHeight="1" x14ac:dyDescent="0.25">
      <c r="A27" s="12" t="s">
        <v>114</v>
      </c>
      <c r="B27" s="13" t="s">
        <v>30</v>
      </c>
      <c r="C27" s="13">
        <v>0.05</v>
      </c>
      <c r="D27" s="12" t="s">
        <v>115</v>
      </c>
      <c r="J27" s="4">
        <v>22</v>
      </c>
      <c r="K27" s="8" t="s">
        <v>116</v>
      </c>
      <c r="L27" s="4" t="s">
        <v>22</v>
      </c>
      <c r="M27" s="4" t="s">
        <v>117</v>
      </c>
      <c r="N27" s="4">
        <f>N8*N26</f>
        <v>8.8680127470921414E-3</v>
      </c>
    </row>
    <row r="28" spans="1:14" ht="15.95" customHeight="1" x14ac:dyDescent="0.25">
      <c r="J28" s="4">
        <v>23</v>
      </c>
      <c r="K28" s="8" t="s">
        <v>118</v>
      </c>
      <c r="L28" s="4" t="s">
        <v>30</v>
      </c>
      <c r="M28" s="4" t="s">
        <v>119</v>
      </c>
      <c r="N28" s="4">
        <f>N27/N10</f>
        <v>1.7286574555735166E-4</v>
      </c>
    </row>
    <row r="30" spans="1:14" ht="15" x14ac:dyDescent="0.25"/>
    <row r="31" spans="1:14" ht="15" x14ac:dyDescent="0.25">
      <c r="A31" t="s">
        <v>120</v>
      </c>
      <c r="B31" t="s">
        <v>14</v>
      </c>
      <c r="C31">
        <v>5.0000000000000001E-4</v>
      </c>
      <c r="D31" t="s">
        <v>122</v>
      </c>
    </row>
    <row r="32" spans="1:14" ht="15" x14ac:dyDescent="0.25">
      <c r="A32" t="s">
        <v>121</v>
      </c>
      <c r="C32" t="s">
        <v>124</v>
      </c>
      <c r="D32" t="s">
        <v>125</v>
      </c>
    </row>
    <row r="33" spans="1:4" ht="15" x14ac:dyDescent="0.25">
      <c r="A33" t="s">
        <v>123</v>
      </c>
      <c r="C33" t="s">
        <v>127</v>
      </c>
      <c r="D33" t="s">
        <v>128</v>
      </c>
    </row>
    <row r="34" spans="1:4" ht="22.5" customHeight="1" x14ac:dyDescent="0.25">
      <c r="A34" t="s">
        <v>126</v>
      </c>
    </row>
  </sheetData>
  <mergeCells count="8">
    <mergeCell ref="J23:N23"/>
    <mergeCell ref="A14:D14"/>
    <mergeCell ref="A1:D1"/>
    <mergeCell ref="J3:N3"/>
    <mergeCell ref="J12:N12"/>
    <mergeCell ref="B8:D8"/>
    <mergeCell ref="J1:N1"/>
    <mergeCell ref="A2:D2"/>
  </mergeCells>
  <pageMargins left="0.7" right="0.7" top="0.75" bottom="0.75" header="0.3" footer="0.3"/>
  <pageSetup paperSize="9" scale="79" orientation="portrait"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ReadMe</vt:lpstr>
      <vt:lpstr>Calculation Sheet</vt:lpstr>
      <vt:lpstr>'Calculation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SODIQ FOLORUNSHO</dc:creator>
  <cp:lastModifiedBy>Abhinand Satish</cp:lastModifiedBy>
  <dcterms:created xsi:type="dcterms:W3CDTF">2025-10-02T23:14:32Z</dcterms:created>
  <dcterms:modified xsi:type="dcterms:W3CDTF">2026-04-25T02:04:12Z</dcterms:modified>
</cp:coreProperties>
</file>